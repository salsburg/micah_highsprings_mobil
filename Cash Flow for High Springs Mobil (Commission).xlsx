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0.xml" ContentType="application/vnd.ms-excel.person+xml"/>
  <Override PartName="/xl/persons/person2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2b3a22b766b939/Documents/"/>
    </mc:Choice>
  </mc:AlternateContent>
  <xr:revisionPtr revIDLastSave="23" documentId="8_{D73B245C-5D64-459F-8CF6-E06D8AD77E4E}" xr6:coauthVersionLast="47" xr6:coauthVersionMax="47" xr10:uidLastSave="{D919132F-3234-4FC4-8271-20450FB82FE1}"/>
  <bookViews>
    <workbookView xWindow="-108" yWindow="-108" windowWidth="23256" windowHeight="12456" xr2:uid="{34B5ECC6-CFC7-4C79-B5A2-A0CC9265B1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1" l="1"/>
  <c r="C6" i="1" l="1"/>
  <c r="C15" i="1" l="1"/>
  <c r="E15" i="1" s="1"/>
  <c r="E6" i="1"/>
  <c r="C11" i="1" l="1"/>
  <c r="E11" i="1" s="1"/>
  <c r="C27" i="1"/>
  <c r="C26" i="1" l="1"/>
  <c r="C25" i="1" l="1"/>
  <c r="C24" i="1"/>
  <c r="C23" i="1"/>
  <c r="C22" i="1" l="1"/>
  <c r="C21" i="1"/>
  <c r="C20" i="1"/>
  <c r="C29" i="1" s="1"/>
  <c r="C10" i="1"/>
  <c r="E10" i="1" s="1"/>
  <c r="C8" i="1"/>
  <c r="E8" i="1" s="1"/>
  <c r="C5" i="1"/>
  <c r="E5" i="1" l="1"/>
  <c r="E16" i="1" l="1"/>
</calcChain>
</file>

<file path=xl/sharedStrings.xml><?xml version="1.0" encoding="utf-8"?>
<sst xmlns="http://schemas.openxmlformats.org/spreadsheetml/2006/main" count="46" uniqueCount="39">
  <si>
    <t>INCOME</t>
  </si>
  <si>
    <t>Grocery</t>
  </si>
  <si>
    <t>ITEM</t>
  </si>
  <si>
    <t>MONTHLY GROSS</t>
  </si>
  <si>
    <t>ANNUAL GROSS</t>
  </si>
  <si>
    <t>MARK UP</t>
  </si>
  <si>
    <t>GROSS PROFIT</t>
  </si>
  <si>
    <t>COMMENTS</t>
  </si>
  <si>
    <t>Gas (Gallons)</t>
  </si>
  <si>
    <t>Lotto - Profit</t>
  </si>
  <si>
    <t>Deli/Hot Food</t>
  </si>
  <si>
    <t>ATM</t>
  </si>
  <si>
    <t>Circle K Rebates</t>
  </si>
  <si>
    <t>Money Orders</t>
  </si>
  <si>
    <t>Rebate Inspection</t>
  </si>
  <si>
    <t>24 Hour Rebate</t>
  </si>
  <si>
    <t>AIR/Vacuum</t>
  </si>
  <si>
    <t>TOTAL</t>
  </si>
  <si>
    <t>EXPENSES</t>
  </si>
  <si>
    <t>MONTHLY AVG</t>
  </si>
  <si>
    <t>ANNUAL</t>
  </si>
  <si>
    <t>RENT</t>
  </si>
  <si>
    <t>Electric/Garbage/Water</t>
  </si>
  <si>
    <t>Telephone/Internet</t>
  </si>
  <si>
    <t>Sale Tax on Rent</t>
  </si>
  <si>
    <t>Employee Payroll</t>
  </si>
  <si>
    <t xml:space="preserve">Property tax </t>
  </si>
  <si>
    <t>Franchise Fee (5.2%)</t>
  </si>
  <si>
    <t>Credit Card Fees</t>
  </si>
  <si>
    <t xml:space="preserve">All data on this business is provided by the Seller for Information purposes and only and no representation is </t>
  </si>
  <si>
    <t xml:space="preserve">made by Listing or Selling Broker as to its accuracy. BROKERS ENCOURAGE BUYERS TO INDEPENDENTLY </t>
  </si>
  <si>
    <t>VERIFY THE DATA.</t>
  </si>
  <si>
    <t>Car Wash Profits</t>
  </si>
  <si>
    <t>******************************************************</t>
  </si>
  <si>
    <t>Comments</t>
  </si>
  <si>
    <t>Store Name: High Spring Mobil (19531 NW US Highway 441, High Springs, FL 32643)</t>
  </si>
  <si>
    <t>Paid by gas</t>
  </si>
  <si>
    <t xml:space="preserve">Insurance Liability </t>
  </si>
  <si>
    <r>
      <t xml:space="preserve">Net profit is </t>
    </r>
    <r>
      <rPr>
        <b/>
        <sz val="12"/>
        <color theme="1"/>
        <rFont val="Calibri"/>
        <family val="2"/>
        <scheme val="minor"/>
      </rPr>
      <t>($107,737)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</si>
</sst>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 Light"/>
      <family val="2"/>
      <scheme val="major"/>
    </font>
    <font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4" fillId="0" borderId="1" xfId="0" applyFont="1" applyBorder="1"/>
    <xf numFmtId="0" fontId="0" fillId="0" borderId="1" xfId="0" applyBorder="1"/>
    <xf numFmtId="0" fontId="5" fillId="0" borderId="1" xfId="0" applyFont="1" applyBorder="1"/>
    <xf numFmtId="0" fontId="2" fillId="0" borderId="1" xfId="0" applyFont="1" applyBorder="1"/>
    <xf numFmtId="3" fontId="0" fillId="0" borderId="1" xfId="0" applyNumberFormat="1" applyBorder="1"/>
    <xf numFmtId="44" fontId="0" fillId="0" borderId="1" xfId="1" applyFont="1" applyBorder="1"/>
    <xf numFmtId="9" fontId="0" fillId="0" borderId="1" xfId="0" applyNumberFormat="1" applyBorder="1"/>
    <xf numFmtId="44" fontId="0" fillId="0" borderId="1" xfId="0" applyNumberFormat="1" applyBorder="1"/>
    <xf numFmtId="44" fontId="0" fillId="2" borderId="1" xfId="0" applyNumberFormat="1" applyFill="1" applyBorder="1"/>
    <xf numFmtId="44" fontId="0" fillId="3" borderId="1" xfId="0" applyNumberFormat="1" applyFill="1" applyBorder="1"/>
    <xf numFmtId="0" fontId="0" fillId="0" borderId="2" xfId="0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1.xml"/><Relationship Id="rId3" Type="http://schemas.openxmlformats.org/officeDocument/2006/relationships/styles" Target="styles.xml"/><Relationship Id="rId7" Type="http://schemas.microsoft.com/office/2017/10/relationships/person" Target="persons/person0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10" Type="http://schemas.microsoft.com/office/2017/10/relationships/person" Target="persons/person2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B91E3-D242-4C85-B23A-69C84E465C4A}">
  <dimension ref="A1:F34"/>
  <sheetViews>
    <sheetView tabSelected="1" workbookViewId="0">
      <selection activeCell="A6" sqref="A6"/>
    </sheetView>
  </sheetViews>
  <sheetFormatPr defaultRowHeight="14.4" x14ac:dyDescent="0.3"/>
  <cols>
    <col min="1" max="1" width="22.44140625" customWidth="1"/>
    <col min="2" max="2" width="15.44140625" bestFit="1" customWidth="1"/>
    <col min="3" max="3" width="16.21875" customWidth="1"/>
    <col min="4" max="4" width="11" bestFit="1" customWidth="1"/>
    <col min="5" max="5" width="12.77734375" bestFit="1" customWidth="1"/>
    <col min="6" max="6" width="14.6640625" customWidth="1"/>
    <col min="7" max="7" width="30.88671875" customWidth="1"/>
  </cols>
  <sheetData>
    <row r="1" spans="1:6" ht="21" x14ac:dyDescent="0.4">
      <c r="A1" s="2" t="s">
        <v>35</v>
      </c>
      <c r="B1" s="2"/>
    </row>
    <row r="3" spans="1:6" ht="25.8" x14ac:dyDescent="0.5">
      <c r="C3" s="1" t="s">
        <v>0</v>
      </c>
    </row>
    <row r="4" spans="1:6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3">
      <c r="A5" s="3" t="s">
        <v>1</v>
      </c>
      <c r="B5" s="7">
        <v>96000</v>
      </c>
      <c r="C5" s="7">
        <f>B5*12</f>
        <v>1152000</v>
      </c>
      <c r="D5" s="8">
        <v>0.32</v>
      </c>
      <c r="E5" s="7">
        <f>C5*D5</f>
        <v>368640</v>
      </c>
      <c r="F5" s="3"/>
    </row>
    <row r="6" spans="1:6" x14ac:dyDescent="0.3">
      <c r="A6" s="3" t="s">
        <v>8</v>
      </c>
      <c r="B6" s="6">
        <v>60000</v>
      </c>
      <c r="C6" s="6">
        <f>B6*12</f>
        <v>720000</v>
      </c>
      <c r="D6" s="3">
        <v>0.05</v>
      </c>
      <c r="E6" s="7">
        <f>C6*D6</f>
        <v>36000</v>
      </c>
      <c r="F6" s="3"/>
    </row>
    <row r="7" spans="1:6" x14ac:dyDescent="0.3">
      <c r="A7" s="3" t="s">
        <v>32</v>
      </c>
      <c r="B7" s="3" t="s">
        <v>33</v>
      </c>
      <c r="C7" s="3"/>
      <c r="D7" s="3"/>
      <c r="E7" s="3"/>
      <c r="F7" s="3"/>
    </row>
    <row r="8" spans="1:6" x14ac:dyDescent="0.3">
      <c r="A8" s="3" t="s">
        <v>9</v>
      </c>
      <c r="B8" s="6">
        <v>37333</v>
      </c>
      <c r="C8" s="6">
        <f>B8*12</f>
        <v>447996</v>
      </c>
      <c r="D8" s="3">
        <v>0.05</v>
      </c>
      <c r="E8" s="7">
        <f>C8*D8</f>
        <v>22399.800000000003</v>
      </c>
      <c r="F8" s="3"/>
    </row>
    <row r="9" spans="1:6" x14ac:dyDescent="0.3">
      <c r="A9" s="3" t="s">
        <v>10</v>
      </c>
      <c r="B9" s="3" t="s">
        <v>33</v>
      </c>
      <c r="C9" s="3"/>
      <c r="D9" s="3"/>
      <c r="E9" s="3"/>
      <c r="F9" s="3"/>
    </row>
    <row r="10" spans="1:6" x14ac:dyDescent="0.3">
      <c r="A10" s="3" t="s">
        <v>11</v>
      </c>
      <c r="B10" s="7">
        <v>837</v>
      </c>
      <c r="C10" s="9">
        <f>B10*12</f>
        <v>10044</v>
      </c>
      <c r="D10" s="3"/>
      <c r="E10" s="9">
        <f>C10</f>
        <v>10044</v>
      </c>
      <c r="F10" s="3"/>
    </row>
    <row r="11" spans="1:6" x14ac:dyDescent="0.3">
      <c r="A11" s="3" t="s">
        <v>12</v>
      </c>
      <c r="B11" s="7">
        <v>2389</v>
      </c>
      <c r="C11" s="7">
        <f>B11*12</f>
        <v>28668</v>
      </c>
      <c r="D11" s="7"/>
      <c r="E11" s="7">
        <f>C11</f>
        <v>28668</v>
      </c>
      <c r="F11" s="3"/>
    </row>
    <row r="12" spans="1:6" x14ac:dyDescent="0.3">
      <c r="A12" s="3" t="s">
        <v>13</v>
      </c>
      <c r="B12" s="3" t="s">
        <v>33</v>
      </c>
      <c r="C12" s="3"/>
      <c r="D12" s="3"/>
      <c r="E12" s="3"/>
      <c r="F12" s="3"/>
    </row>
    <row r="13" spans="1:6" x14ac:dyDescent="0.3">
      <c r="A13" s="3" t="s">
        <v>15</v>
      </c>
      <c r="B13" s="3" t="s">
        <v>33</v>
      </c>
      <c r="C13" s="3"/>
      <c r="D13" s="3"/>
      <c r="E13" s="3"/>
      <c r="F13" s="3"/>
    </row>
    <row r="14" spans="1:6" x14ac:dyDescent="0.3">
      <c r="A14" s="3" t="s">
        <v>14</v>
      </c>
      <c r="B14" s="3" t="s">
        <v>33</v>
      </c>
      <c r="C14" s="3"/>
      <c r="D14" s="3"/>
      <c r="E14" s="3"/>
      <c r="F14" s="3"/>
    </row>
    <row r="15" spans="1:6" x14ac:dyDescent="0.3">
      <c r="A15" s="3" t="s">
        <v>16</v>
      </c>
      <c r="B15" s="7">
        <v>180</v>
      </c>
      <c r="C15" s="7">
        <f>B15*12</f>
        <v>2160</v>
      </c>
      <c r="D15" s="3"/>
      <c r="E15" s="7">
        <f>C15</f>
        <v>2160</v>
      </c>
      <c r="F15" s="3"/>
    </row>
    <row r="16" spans="1:6" x14ac:dyDescent="0.3">
      <c r="A16" s="5" t="s">
        <v>17</v>
      </c>
      <c r="B16" s="9"/>
      <c r="C16" s="3"/>
      <c r="D16" s="3"/>
      <c r="E16" s="10">
        <f>SUM(E5:E15)</f>
        <v>467911.8</v>
      </c>
      <c r="F16" s="3"/>
    </row>
    <row r="18" spans="1:6" ht="25.8" x14ac:dyDescent="0.5">
      <c r="C18" s="1" t="s">
        <v>18</v>
      </c>
    </row>
    <row r="19" spans="1:6" x14ac:dyDescent="0.3">
      <c r="A19" s="4" t="s">
        <v>2</v>
      </c>
      <c r="B19" s="4" t="s">
        <v>19</v>
      </c>
      <c r="C19" s="4" t="s">
        <v>20</v>
      </c>
      <c r="D19" s="4"/>
      <c r="E19" s="4" t="s">
        <v>34</v>
      </c>
      <c r="F19" s="4"/>
    </row>
    <row r="20" spans="1:6" x14ac:dyDescent="0.3">
      <c r="A20" s="3" t="s">
        <v>21</v>
      </c>
      <c r="B20" s="7">
        <v>6000</v>
      </c>
      <c r="C20" s="9">
        <f>SUM(B20*12)</f>
        <v>72000</v>
      </c>
      <c r="D20" s="3"/>
      <c r="E20" s="3"/>
      <c r="F20" s="3"/>
    </row>
    <row r="21" spans="1:6" x14ac:dyDescent="0.3">
      <c r="A21" s="3" t="s">
        <v>22</v>
      </c>
      <c r="B21" s="7">
        <v>2246.5243770000002</v>
      </c>
      <c r="C21" s="9">
        <f t="shared" ref="C21:C22" si="0">B21*12</f>
        <v>26958.292524000004</v>
      </c>
      <c r="D21" s="3"/>
      <c r="E21" s="3"/>
      <c r="F21" s="3"/>
    </row>
    <row r="22" spans="1:6" x14ac:dyDescent="0.3">
      <c r="A22" s="3" t="s">
        <v>23</v>
      </c>
      <c r="B22" s="7">
        <v>180</v>
      </c>
      <c r="C22" s="9">
        <f t="shared" si="0"/>
        <v>2160</v>
      </c>
      <c r="D22" s="3"/>
      <c r="E22" s="3"/>
      <c r="F22" s="3"/>
    </row>
    <row r="23" spans="1:6" x14ac:dyDescent="0.3">
      <c r="A23" s="3" t="s">
        <v>24</v>
      </c>
      <c r="B23" s="7">
        <v>600</v>
      </c>
      <c r="C23" s="9">
        <f t="shared" ref="C23:C25" si="1">B23*12</f>
        <v>7200</v>
      </c>
      <c r="D23" s="3"/>
      <c r="E23" s="3"/>
      <c r="F23" s="3"/>
    </row>
    <row r="24" spans="1:6" x14ac:dyDescent="0.3">
      <c r="A24" s="3" t="s">
        <v>25</v>
      </c>
      <c r="B24" s="7">
        <v>13340</v>
      </c>
      <c r="C24" s="7">
        <f t="shared" si="1"/>
        <v>160080</v>
      </c>
      <c r="D24" s="3"/>
      <c r="E24" s="3"/>
      <c r="F24" s="3"/>
    </row>
    <row r="25" spans="1:6" x14ac:dyDescent="0.3">
      <c r="A25" s="3" t="s">
        <v>37</v>
      </c>
      <c r="B25" s="7">
        <v>1000</v>
      </c>
      <c r="C25" s="7">
        <f t="shared" si="1"/>
        <v>12000</v>
      </c>
      <c r="D25" s="3"/>
      <c r="E25" s="3"/>
      <c r="F25" s="3"/>
    </row>
    <row r="26" spans="1:6" x14ac:dyDescent="0.3">
      <c r="A26" s="3" t="s">
        <v>26</v>
      </c>
      <c r="B26" s="7">
        <v>1656</v>
      </c>
      <c r="C26" s="9">
        <f t="shared" ref="C26" si="2">B26*12</f>
        <v>19872</v>
      </c>
      <c r="D26" s="3"/>
      <c r="E26" s="3"/>
      <c r="F26" s="3"/>
    </row>
    <row r="27" spans="1:6" x14ac:dyDescent="0.3">
      <c r="A27" s="3" t="s">
        <v>27</v>
      </c>
      <c r="B27" s="7">
        <f>(B5*0.052)</f>
        <v>4992</v>
      </c>
      <c r="C27" s="9">
        <f>B27*12</f>
        <v>59904</v>
      </c>
      <c r="D27" s="3"/>
      <c r="E27" s="3"/>
      <c r="F27" s="3"/>
    </row>
    <row r="28" spans="1:6" x14ac:dyDescent="0.3">
      <c r="A28" s="3" t="s">
        <v>28</v>
      </c>
      <c r="B28" s="3" t="s">
        <v>33</v>
      </c>
      <c r="C28" s="3"/>
      <c r="D28" s="3"/>
      <c r="E28" s="3"/>
      <c r="F28" s="3" t="s">
        <v>36</v>
      </c>
    </row>
    <row r="29" spans="1:6" x14ac:dyDescent="0.3">
      <c r="A29" s="5" t="s">
        <v>17</v>
      </c>
      <c r="B29" s="3"/>
      <c r="C29" s="11">
        <f>SUM(C18:C28)</f>
        <v>360174.29252399999</v>
      </c>
      <c r="D29" s="3"/>
      <c r="E29" s="3"/>
      <c r="F29" s="3"/>
    </row>
    <row r="30" spans="1:6" ht="15.6" x14ac:dyDescent="0.3">
      <c r="A30" s="12" t="s">
        <v>38</v>
      </c>
    </row>
    <row r="32" spans="1:6" x14ac:dyDescent="0.3">
      <c r="A32" t="s">
        <v>29</v>
      </c>
    </row>
    <row r="33" spans="1:1" x14ac:dyDescent="0.3">
      <c r="A33" t="s">
        <v>30</v>
      </c>
    </row>
    <row r="34" spans="1:1" x14ac:dyDescent="0.3">
      <c r="A34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Hynes</dc:creator>
  <cp:lastModifiedBy>Matthew Hynes</cp:lastModifiedBy>
  <cp:lastPrinted>2023-12-15T21:00:51Z</cp:lastPrinted>
  <dcterms:created xsi:type="dcterms:W3CDTF">2023-12-15T20:08:13Z</dcterms:created>
  <dcterms:modified xsi:type="dcterms:W3CDTF">2025-11-18T16:13:24Z</dcterms:modified>
</cp:coreProperties>
</file>